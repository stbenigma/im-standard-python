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DB.intra.admin.ch\Userhome$\EZV-01\X60018090\Data\Documents\Dokumente DazIT\"/>
    </mc:Choice>
  </mc:AlternateContent>
  <bookViews>
    <workbookView xWindow="0" yWindow="0" windowWidth="23040" windowHeight="9420" activeTab="1"/>
  </bookViews>
  <sheets>
    <sheet name="Ansatz" sheetId="5" r:id="rId1"/>
    <sheet name="Deklarationsvorschrift (MDG)" sheetId="3" r:id="rId2"/>
    <sheet name="Bemessungsgrundlage" sheetId="1" r:id="rId3"/>
    <sheet name="Einheit" sheetId="2" r:id="rId4"/>
    <sheet name="BEMCO" sheetId="4" r:id="rId5"/>
    <sheet name="MENGENCO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" i="1" l="1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3" i="3"/>
  <c r="A4" i="3" s="1"/>
  <c r="A5" i="3" s="1"/>
  <c r="A6" i="3" s="1"/>
  <c r="A7" i="3" s="1"/>
  <c r="A8" i="3" s="1"/>
  <c r="A9" i="3" s="1"/>
  <c r="A3" i="1"/>
  <c r="A4" i="1" s="1"/>
  <c r="A5" i="1" s="1"/>
  <c r="A6" i="1" s="1"/>
  <c r="A7" i="1" s="1"/>
  <c r="A8" i="1" s="1"/>
  <c r="A19" i="1" s="1"/>
  <c r="A20" i="1" s="1"/>
  <c r="A21" i="1" s="1"/>
  <c r="A22" i="1" l="1"/>
  <c r="A23" i="1" s="1"/>
</calcChain>
</file>

<file path=xl/comments1.xml><?xml version="1.0" encoding="utf-8"?>
<comments xmlns="http://schemas.openxmlformats.org/spreadsheetml/2006/main">
  <authors>
    <author>Berner Stefan EZV</author>
  </authors>
  <commentList>
    <comment ref="C2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Muss eine existierende Deklarationsvorschrift für diese TN8-ID sein.
Als LOV dynamisch angeboten.
</t>
        </r>
      </text>
    </comment>
    <comment ref="D2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NUMBER 4,0
mögliche Werte
1 
100 (default)
</t>
        </r>
      </text>
    </comment>
  </commentList>
</comments>
</file>

<file path=xl/comments2.xml><?xml version="1.0" encoding="utf-8"?>
<comments xmlns="http://schemas.openxmlformats.org/spreadsheetml/2006/main">
  <authors>
    <author>Berner Stefan EZV</author>
  </authors>
  <commentList>
    <comment ref="C1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Foreign key zu Steuerungselement. Entweder zu TN8 ODER zu Steuerungselement
.
aus MCO_SCL</t>
        </r>
      </text>
    </comment>
    <comment ref="E2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Boolean J/N
Defatult J
Steuert, ob bei Ansatz als LOV erscheint.
Je TN8 muss mindestens 1 Eintrag J haben.</t>
        </r>
      </text>
    </comment>
    <comment ref="F2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Mögliche Werte:
Rohmasse
Eigenmasse
Zusatzmenge
MWST-Wert (evtl. künftig)</t>
        </r>
      </text>
    </comment>
    <comment ref="G2" authorId="0" shapeId="0">
      <text>
        <r>
          <rPr>
            <b/>
            <sz val="9"/>
            <color indexed="81"/>
            <rFont val="Segoe UI"/>
            <charset val="1"/>
          </rPr>
          <t>Berner Stefan EZV:</t>
        </r>
        <r>
          <rPr>
            <sz val="9"/>
            <color indexed="81"/>
            <rFont val="Segoe UI"/>
            <charset val="1"/>
          </rPr>
          <t xml:space="preserve">
String 
Übersetzt aus I, E, B(eide) in I, E, I+E</t>
        </r>
      </text>
    </comment>
    <comment ref="H2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Boolean J/N
J macht nur Sinn bei Eigenmasse
</t>
        </r>
      </text>
    </comment>
  </commentList>
</comments>
</file>

<file path=xl/comments3.xml><?xml version="1.0" encoding="utf-8"?>
<comments xmlns="http://schemas.openxmlformats.org/spreadsheetml/2006/main">
  <authors>
    <author>Berner Stefan EZV</author>
  </authors>
  <commentList>
    <comment ref="C4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NUMBER (1,0)
</t>
        </r>
      </text>
    </comment>
    <comment ref="D4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Boolean: J/N</t>
        </r>
      </text>
    </comment>
    <comment ref="G4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NUMBER (3,0)</t>
        </r>
      </text>
    </comment>
    <comment ref="H4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String 200
</t>
        </r>
      </text>
    </comment>
    <comment ref="L4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String 200</t>
        </r>
      </text>
    </comment>
    <comment ref="P4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String 8</t>
        </r>
      </text>
    </comment>
    <comment ref="F5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NUMBER (3,0)
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Number (6,0)
in milibar</t>
        </r>
      </text>
    </comment>
  </commentList>
</comments>
</file>

<file path=xl/comments4.xml><?xml version="1.0" encoding="utf-8"?>
<comments xmlns="http://schemas.openxmlformats.org/spreadsheetml/2006/main">
  <authors>
    <author>Berner Stefan EZV</author>
  </authors>
  <commentList>
    <comment ref="B2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String 10</t>
        </r>
      </text>
    </comment>
    <comment ref="C2" authorId="0" shapeId="0">
      <text>
        <r>
          <rPr>
            <b/>
            <sz val="9"/>
            <color indexed="81"/>
            <rFont val="Segoe UI"/>
            <family val="2"/>
          </rPr>
          <t>Berner Stefan EZV:</t>
        </r>
        <r>
          <rPr>
            <sz val="9"/>
            <color indexed="81"/>
            <rFont val="Segoe UI"/>
            <family val="2"/>
          </rPr>
          <t xml:space="preserve">
String 100</t>
        </r>
      </text>
    </comment>
  </commentList>
</comments>
</file>

<file path=xl/sharedStrings.xml><?xml version="1.0" encoding="utf-8"?>
<sst xmlns="http://schemas.openxmlformats.org/spreadsheetml/2006/main" count="259" uniqueCount="152">
  <si>
    <t>je Meter</t>
  </si>
  <si>
    <t>par mètre</t>
  </si>
  <si>
    <t>per metro</t>
  </si>
  <si>
    <t>per metre</t>
  </si>
  <si>
    <t>m</t>
  </si>
  <si>
    <t>Meter</t>
  </si>
  <si>
    <t>mètre</t>
  </si>
  <si>
    <t>metro</t>
  </si>
  <si>
    <t>metre</t>
  </si>
  <si>
    <t>Kürzel</t>
  </si>
  <si>
    <t>TXT_D</t>
  </si>
  <si>
    <t>TXT_F</t>
  </si>
  <si>
    <t>TXT_I</t>
  </si>
  <si>
    <t>TXT_E</t>
  </si>
  <si>
    <t>je Anwendungseinheit</t>
  </si>
  <si>
    <t>par unité d'application</t>
  </si>
  <si>
    <t>per dose</t>
  </si>
  <si>
    <t>per usual unit</t>
  </si>
  <si>
    <t>AWE</t>
  </si>
  <si>
    <t>Anwendungseinheit</t>
  </si>
  <si>
    <t>unité d'application</t>
  </si>
  <si>
    <t>dose</t>
  </si>
  <si>
    <t>usuale unit</t>
  </si>
  <si>
    <t>je 100 kg brutto</t>
  </si>
  <si>
    <t>par 100 kg brut</t>
  </si>
  <si>
    <t>per 100 kg peso lordo</t>
  </si>
  <si>
    <t>per 100 kg gross</t>
  </si>
  <si>
    <t>kg</t>
  </si>
  <si>
    <t>Kilogramm</t>
  </si>
  <si>
    <t>kilogramme</t>
  </si>
  <si>
    <t>je Stück</t>
  </si>
  <si>
    <t>par pièce</t>
  </si>
  <si>
    <t>per capo</t>
  </si>
  <si>
    <t>each</t>
  </si>
  <si>
    <t>Stk</t>
  </si>
  <si>
    <t>Stück</t>
  </si>
  <si>
    <t>capo</t>
  </si>
  <si>
    <t>pièce</t>
  </si>
  <si>
    <t>je Liter</t>
  </si>
  <si>
    <t>par litre</t>
  </si>
  <si>
    <t>per litro</t>
  </si>
  <si>
    <t>per litre</t>
  </si>
  <si>
    <t>Liter</t>
  </si>
  <si>
    <t>litre</t>
  </si>
  <si>
    <t>litro</t>
  </si>
  <si>
    <t>je MWh</t>
  </si>
  <si>
    <t>par MWh</t>
  </si>
  <si>
    <t>per MWh</t>
  </si>
  <si>
    <t>MWh</t>
  </si>
  <si>
    <t>Megawattstunde</t>
  </si>
  <si>
    <t>je 100 kg Eigenmasse</t>
  </si>
  <si>
    <t>par 100 kg masse nette</t>
  </si>
  <si>
    <t>per 100 kg massa netta</t>
  </si>
  <si>
    <t>per 100 kg net mass</t>
  </si>
  <si>
    <t>TN8-ID</t>
  </si>
  <si>
    <t>Erfassungsfeld</t>
  </si>
  <si>
    <t>Rohmasse</t>
  </si>
  <si>
    <t>Eigenmasse</t>
  </si>
  <si>
    <t>Zusatzmenge</t>
  </si>
  <si>
    <t>Braucht Eigenmassenumrechnung</t>
  </si>
  <si>
    <t>N</t>
  </si>
  <si>
    <t>J</t>
  </si>
  <si>
    <t>Gültig ab</t>
  </si>
  <si>
    <t>Gültig bis</t>
  </si>
  <si>
    <t>Bemessungsgrundlage ID</t>
  </si>
  <si>
    <t>ID</t>
  </si>
  <si>
    <t>Einheit</t>
  </si>
  <si>
    <t>Nackommastellen</t>
  </si>
  <si>
    <t>Inhaltstoffgehalt</t>
  </si>
  <si>
    <t>lt</t>
  </si>
  <si>
    <t>Druck</t>
  </si>
  <si>
    <t>Feuchtigkeit</t>
  </si>
  <si>
    <t>Temperatur</t>
  </si>
  <si>
    <t>Tares_TxtD</t>
  </si>
  <si>
    <t>Text D</t>
  </si>
  <si>
    <t>Text F</t>
  </si>
  <si>
    <t>Text I</t>
  </si>
  <si>
    <t>Text E</t>
  </si>
  <si>
    <t>Liter bei 15Grad C</t>
  </si>
  <si>
    <t>Volk</t>
  </si>
  <si>
    <t>Sendung</t>
  </si>
  <si>
    <t>Hektoliter</t>
  </si>
  <si>
    <t>Quadratmeter</t>
  </si>
  <si>
    <t>m2</t>
  </si>
  <si>
    <t>m3</t>
  </si>
  <si>
    <t>Kubikmeter</t>
  </si>
  <si>
    <t>Hülse</t>
  </si>
  <si>
    <t>/</t>
  </si>
  <si>
    <t>DEKLARATIONSVORSCHRIFT-ID</t>
  </si>
  <si>
    <t>FAKTOR</t>
  </si>
  <si>
    <t>ANSATZ</t>
  </si>
  <si>
    <t>…</t>
  </si>
  <si>
    <t>Kurztext D</t>
  </si>
  <si>
    <t>LT 15G</t>
  </si>
  <si>
    <t>hl</t>
  </si>
  <si>
    <t>Snd</t>
  </si>
  <si>
    <t>V</t>
  </si>
  <si>
    <t>Karat</t>
  </si>
  <si>
    <t>kar</t>
  </si>
  <si>
    <t>Hü</t>
  </si>
  <si>
    <t xml:space="preserve">Liter 100% Alkohol </t>
  </si>
  <si>
    <t>Liter 100% Alkohol</t>
  </si>
  <si>
    <t>ltalk</t>
  </si>
  <si>
    <t>kgvoc</t>
  </si>
  <si>
    <t>kg 100% VOC</t>
  </si>
  <si>
    <t>für Ansatz brauchbar</t>
  </si>
  <si>
    <t>Wert in CHF</t>
  </si>
  <si>
    <t>WertCHF</t>
  </si>
  <si>
    <t>vom Entgelt / Normalwert (CHF) auf 2 Nachkommastellen</t>
  </si>
  <si>
    <t>Kubikmeter bei 1013 mbar und 15 Grad, auf 3 Nachkommastellen</t>
  </si>
  <si>
    <t>Lieter bei 50% Feuchte, auf 3 Nachkommastellen</t>
  </si>
  <si>
    <t>Einheit-ID</t>
  </si>
  <si>
    <t>kg mit 3 Nachkommastellen</t>
  </si>
  <si>
    <t>Anwendungseinheiten</t>
  </si>
  <si>
    <t>extrahiert als:
   select case when BMC_CODE IN (1, 7) 
             then 100 else 1   
             end  as faktor
from ansatz
join bemco on bmc_id = anz_bmc_id</t>
  </si>
  <si>
    <t>GSD</t>
  </si>
  <si>
    <t>Ansatz</t>
  </si>
  <si>
    <t>BEMCO</t>
  </si>
  <si>
    <t>MCO_
TN8_ID</t>
  </si>
  <si>
    <t>TN8_MCO</t>
  </si>
  <si>
    <t>BMC_CODE</t>
  </si>
  <si>
    <t>BMC_TYP</t>
  </si>
  <si>
    <t>BMC_FAKTOR</t>
  </si>
  <si>
    <t>BMC_TXTD</t>
  </si>
  <si>
    <t>BMC_TXTF</t>
  </si>
  <si>
    <t>BMC_TXTI</t>
  </si>
  <si>
    <t>BMC_TXTE</t>
  </si>
  <si>
    <t>BMC_OPERAND</t>
  </si>
  <si>
    <t>Deklarationsvorschrift (für Ansatz brauchbar = J)</t>
  </si>
  <si>
    <t>Eigemasse</t>
  </si>
  <si>
    <t>Bemesungsgrundlage</t>
  </si>
  <si>
    <t>Einheit-id</t>
  </si>
  <si>
    <t>..F</t>
  </si>
  <si>
    <t>...I</t>
  </si>
  <si>
    <t>...E</t>
  </si>
  <si>
    <t>...F</t>
  </si>
  <si>
    <t>... I</t>
  </si>
  <si>
    <t>... E</t>
  </si>
  <si>
    <t>Status</t>
  </si>
  <si>
    <t>STI/E-ID</t>
  </si>
  <si>
    <t xml:space="preserve">Mengencode-Typ 1 
mit MCO_UMFGFKT = J
</t>
  </si>
  <si>
    <t>Verkehrsrichtung</t>
  </si>
  <si>
    <t>TN8_MCO.T8M_VKR</t>
  </si>
  <si>
    <t>aus TN8_MCO
T8M_VDAT
T8M_BDAT</t>
  </si>
  <si>
    <t>I</t>
  </si>
  <si>
    <t>E</t>
  </si>
  <si>
    <t>IE</t>
  </si>
  <si>
    <t>Bemessungsgrundlage für ANSATZ, manuell abzufüllen</t>
  </si>
  <si>
    <t>TN8_MCO 
-&gt; MENGENCO
MCO_CODE -&gt; ID
1,10 -&gt; 200
11 -&gt; 204
12 -&gt; 203
15 -&gt; 205
18,19,20,22,27 -&gt; 201
27 -&gt; 201
30,45-&gt;206</t>
  </si>
  <si>
    <t>TN8_MCO 
-&gt; MENGENCO
-&gt; MENGENCOTYP
MCO_CODE-&gt; Erfassungsfeld
30 -&gt; Rohmasse
31-44 -&gt; Zusatzmenge
45 -&gt; Eigenmasse</t>
  </si>
  <si>
    <t>MCO_TYP
1,2,3 -&gt; N
4 -&gt; J</t>
  </si>
  <si>
    <t>Auf Grund BMC_TYP in Deklarationsvorschrift für diese TN8(via ZE) nach einer Vorschrift suchen, die die Es darf immer max. 1 geben.
Deklarationsvorschrift DKV für die TN8 ist in Gültigkeitsbereich des Ansatzes und hat "für Ansatz brauchbar (SUIT)" = J und
BMC_TYP
1 -&gt; DKV Rohmasse
2-6 -&gt; DKV Zusatzmenge
7 -&gt; DKV Eigenmasse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</si>
</sst>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name val="Arial"/>
      <family val="2"/>
    </font>
    <font>
      <b/>
      <sz val="11"/>
      <color theme="0" tint="-0.249977111117893"/>
      <name val="Arial"/>
      <family val="2"/>
    </font>
    <font>
      <sz val="11"/>
      <color theme="0" tint="-0.249977111117893"/>
      <name val="Arial"/>
      <family val="2"/>
    </font>
    <font>
      <b/>
      <sz val="11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Font="1"/>
    <xf numFmtId="49" fontId="3" fillId="2" borderId="1" xfId="0" applyNumberFormat="1" applyFon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applyNumberFormat="1"/>
    <xf numFmtId="49" fontId="2" fillId="3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vertical="top" wrapText="1"/>
    </xf>
    <xf numFmtId="49" fontId="13" fillId="0" borderId="0" xfId="0" applyNumberFormat="1" applyFont="1" applyAlignment="1">
      <alignment vertical="top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wrapText="1"/>
    </xf>
    <xf numFmtId="0" fontId="8" fillId="5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"/>
  <sheetViews>
    <sheetView topLeftCell="A16" workbookViewId="0">
      <selection activeCell="C18" sqref="C18"/>
    </sheetView>
  </sheetViews>
  <sheetFormatPr baseColWidth="10" defaultRowHeight="13.8" x14ac:dyDescent="0.25"/>
  <cols>
    <col min="3" max="3" width="29.69921875" bestFit="1" customWidth="1"/>
  </cols>
  <sheetData>
    <row r="1" spans="1:6" x14ac:dyDescent="0.25">
      <c r="A1" s="14" t="s">
        <v>65</v>
      </c>
      <c r="B1" s="16" t="s">
        <v>54</v>
      </c>
      <c r="C1" s="14" t="s">
        <v>88</v>
      </c>
      <c r="D1" s="1" t="s">
        <v>89</v>
      </c>
      <c r="E1" s="1" t="s">
        <v>90</v>
      </c>
      <c r="F1" s="1" t="s">
        <v>91</v>
      </c>
    </row>
    <row r="2" spans="1:6" x14ac:dyDescent="0.25">
      <c r="A2" s="15">
        <v>401</v>
      </c>
      <c r="B2" s="17">
        <v>123456</v>
      </c>
      <c r="C2" s="15">
        <v>1001</v>
      </c>
      <c r="D2">
        <v>100</v>
      </c>
      <c r="E2">
        <v>8</v>
      </c>
    </row>
    <row r="3" spans="1:6" x14ac:dyDescent="0.25">
      <c r="A3" s="15">
        <f>A2+1</f>
        <v>402</v>
      </c>
      <c r="B3" s="17">
        <v>99821</v>
      </c>
      <c r="C3" s="15">
        <v>1003</v>
      </c>
      <c r="D3">
        <v>1</v>
      </c>
      <c r="E3">
        <v>7.15</v>
      </c>
    </row>
    <row r="4" spans="1:6" x14ac:dyDescent="0.25">
      <c r="A4" s="15">
        <f t="shared" ref="A4:A13" si="0">A3+1</f>
        <v>403</v>
      </c>
      <c r="B4" s="17">
        <v>54345</v>
      </c>
      <c r="C4" s="15">
        <v>1006</v>
      </c>
      <c r="D4">
        <v>1</v>
      </c>
      <c r="E4">
        <v>0.65</v>
      </c>
    </row>
    <row r="5" spans="1:6" x14ac:dyDescent="0.25">
      <c r="A5" s="15">
        <f t="shared" si="0"/>
        <v>404</v>
      </c>
      <c r="B5" s="17">
        <v>883123</v>
      </c>
      <c r="C5" s="15">
        <v>1008</v>
      </c>
      <c r="D5">
        <v>100</v>
      </c>
      <c r="E5">
        <v>234</v>
      </c>
    </row>
    <row r="6" spans="1:6" x14ac:dyDescent="0.25">
      <c r="A6" s="15">
        <f t="shared" si="0"/>
        <v>405</v>
      </c>
      <c r="B6" s="17"/>
    </row>
    <row r="7" spans="1:6" x14ac:dyDescent="0.25">
      <c r="A7" s="15">
        <f t="shared" si="0"/>
        <v>406</v>
      </c>
      <c r="B7" s="17"/>
    </row>
    <row r="8" spans="1:6" x14ac:dyDescent="0.25">
      <c r="A8" s="15">
        <f t="shared" si="0"/>
        <v>407</v>
      </c>
      <c r="B8" s="17"/>
    </row>
    <row r="9" spans="1:6" x14ac:dyDescent="0.25">
      <c r="A9" s="15">
        <f t="shared" si="0"/>
        <v>408</v>
      </c>
      <c r="B9" s="17"/>
    </row>
    <row r="10" spans="1:6" x14ac:dyDescent="0.25">
      <c r="A10" s="15">
        <f t="shared" si="0"/>
        <v>409</v>
      </c>
      <c r="B10" s="17"/>
    </row>
    <row r="11" spans="1:6" x14ac:dyDescent="0.25">
      <c r="A11" s="15">
        <f t="shared" si="0"/>
        <v>410</v>
      </c>
      <c r="B11" s="17"/>
    </row>
    <row r="12" spans="1:6" x14ac:dyDescent="0.25">
      <c r="A12" s="15">
        <f t="shared" si="0"/>
        <v>411</v>
      </c>
      <c r="B12" s="17"/>
    </row>
    <row r="13" spans="1:6" x14ac:dyDescent="0.25">
      <c r="A13" s="15">
        <f t="shared" si="0"/>
        <v>412</v>
      </c>
      <c r="B13" s="17"/>
    </row>
    <row r="14" spans="1:6" x14ac:dyDescent="0.25">
      <c r="A14" s="15"/>
    </row>
    <row r="18" spans="1:9" ht="179.4" x14ac:dyDescent="0.25">
      <c r="A18" s="12"/>
      <c r="B18" s="12"/>
      <c r="C18" s="18" t="s">
        <v>151</v>
      </c>
      <c r="D18" s="26" t="s">
        <v>114</v>
      </c>
      <c r="E18" s="27"/>
      <c r="F18" s="27"/>
      <c r="G18" s="12"/>
      <c r="H18" s="12"/>
      <c r="I18" s="12"/>
    </row>
    <row r="21" spans="1:9" x14ac:dyDescent="0.25">
      <c r="A21" t="s">
        <v>115</v>
      </c>
    </row>
    <row r="22" spans="1:9" x14ac:dyDescent="0.25">
      <c r="A22" t="s">
        <v>116</v>
      </c>
      <c r="B22" t="s">
        <v>117</v>
      </c>
      <c r="C22" t="s">
        <v>128</v>
      </c>
      <c r="E22" t="s">
        <v>130</v>
      </c>
      <c r="G22" t="s">
        <v>66</v>
      </c>
    </row>
    <row r="23" spans="1:9" x14ac:dyDescent="0.25">
      <c r="B23" t="s">
        <v>121</v>
      </c>
      <c r="C23" t="s">
        <v>55</v>
      </c>
      <c r="E23" t="s">
        <v>131</v>
      </c>
    </row>
    <row r="24" spans="1:9" x14ac:dyDescent="0.25">
      <c r="B24">
        <v>1</v>
      </c>
      <c r="C24" t="s">
        <v>56</v>
      </c>
      <c r="G24" t="s">
        <v>27</v>
      </c>
    </row>
    <row r="25" spans="1:9" x14ac:dyDescent="0.25">
      <c r="B25">
        <v>2</v>
      </c>
      <c r="C25" t="s">
        <v>58</v>
      </c>
      <c r="G25" t="s">
        <v>34</v>
      </c>
    </row>
    <row r="26" spans="1:9" x14ac:dyDescent="0.25">
      <c r="B26">
        <v>3</v>
      </c>
      <c r="C26" t="s">
        <v>58</v>
      </c>
      <c r="G26" t="s">
        <v>18</v>
      </c>
    </row>
    <row r="27" spans="1:9" x14ac:dyDescent="0.25">
      <c r="B27">
        <v>4</v>
      </c>
      <c r="C27" t="s">
        <v>58</v>
      </c>
      <c r="G27" t="s">
        <v>4</v>
      </c>
    </row>
    <row r="28" spans="1:9" x14ac:dyDescent="0.25">
      <c r="B28">
        <v>5</v>
      </c>
      <c r="C28" t="s">
        <v>58</v>
      </c>
      <c r="G28" t="s">
        <v>69</v>
      </c>
    </row>
    <row r="29" spans="1:9" x14ac:dyDescent="0.25">
      <c r="B29">
        <v>6</v>
      </c>
      <c r="C29" t="s">
        <v>58</v>
      </c>
      <c r="G29" t="s">
        <v>48</v>
      </c>
    </row>
    <row r="30" spans="1:9" x14ac:dyDescent="0.25">
      <c r="B30">
        <v>7</v>
      </c>
      <c r="C30" t="s">
        <v>129</v>
      </c>
      <c r="G30" t="s">
        <v>27</v>
      </c>
    </row>
  </sheetData>
  <mergeCells count="1">
    <mergeCell ref="D18:F18"/>
  </mergeCells>
  <pageMargins left="0.70866141732283472" right="0.70866141732283472" top="0.78740157480314965" bottom="0.78740157480314965" header="0.31496062992125984" footer="0.31496062992125984"/>
  <pageSetup paperSize="8" orientation="landscape" r:id="rId1"/>
  <headerFooter>
    <oddHeader>&amp;LMengenCode, BemessungsCode -&gt; Deklarationsvorschrift&amp;RAnsatz</oddHeader>
    <oddFooter>&amp;L&amp;F / &amp;A&amp;R&amp;D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2"/>
  <sheetViews>
    <sheetView tabSelected="1" topLeftCell="A16" zoomScale="90" zoomScaleNormal="90" workbookViewId="0">
      <selection activeCell="I26" sqref="I26:J26"/>
    </sheetView>
  </sheetViews>
  <sheetFormatPr baseColWidth="10" defaultRowHeight="13.8" x14ac:dyDescent="0.25"/>
  <cols>
    <col min="1" max="1" width="4.8984375" bestFit="1" customWidth="1"/>
    <col min="2" max="2" width="6.8984375" bestFit="1" customWidth="1"/>
    <col min="3" max="3" width="8" bestFit="1" customWidth="1"/>
    <col min="4" max="4" width="23.69921875" bestFit="1" customWidth="1"/>
    <col min="5" max="5" width="19.09765625" bestFit="1" customWidth="1"/>
    <col min="6" max="6" width="14" bestFit="1" customWidth="1"/>
    <col min="7" max="7" width="16.296875" bestFit="1" customWidth="1"/>
    <col min="8" max="8" width="31.59765625" bestFit="1" customWidth="1"/>
    <col min="11" max="11" width="11" customWidth="1"/>
    <col min="12" max="12" width="4" customWidth="1"/>
    <col min="13" max="13" width="3.69921875" customWidth="1"/>
    <col min="14" max="14" width="3.19921875" customWidth="1"/>
    <col min="15" max="15" width="3.59765625" customWidth="1"/>
  </cols>
  <sheetData>
    <row r="1" spans="1:12" x14ac:dyDescent="0.25">
      <c r="A1" s="14" t="s">
        <v>65</v>
      </c>
      <c r="B1" s="14" t="s">
        <v>54</v>
      </c>
      <c r="C1" s="14" t="s">
        <v>139</v>
      </c>
      <c r="D1" s="14" t="s">
        <v>64</v>
      </c>
      <c r="E1" s="1" t="s">
        <v>105</v>
      </c>
      <c r="F1" s="1" t="s">
        <v>55</v>
      </c>
      <c r="G1" s="1" t="s">
        <v>141</v>
      </c>
      <c r="H1" s="1" t="s">
        <v>59</v>
      </c>
      <c r="I1" s="1" t="s">
        <v>62</v>
      </c>
      <c r="J1" s="1" t="s">
        <v>63</v>
      </c>
      <c r="K1" s="1" t="s">
        <v>138</v>
      </c>
    </row>
    <row r="2" spans="1:12" x14ac:dyDescent="0.25">
      <c r="A2" s="15">
        <v>1001</v>
      </c>
      <c r="B2" s="15">
        <v>123456</v>
      </c>
      <c r="C2" s="15"/>
      <c r="D2" s="15">
        <v>100</v>
      </c>
      <c r="E2" s="25" t="s">
        <v>61</v>
      </c>
      <c r="F2" t="s">
        <v>56</v>
      </c>
      <c r="G2" s="24" t="s">
        <v>144</v>
      </c>
      <c r="H2" s="10" t="s">
        <v>60</v>
      </c>
      <c r="I2" s="5">
        <v>34700</v>
      </c>
      <c r="J2" s="5">
        <v>401768</v>
      </c>
    </row>
    <row r="3" spans="1:12" x14ac:dyDescent="0.25">
      <c r="A3" s="15">
        <f>A2+1</f>
        <v>1002</v>
      </c>
      <c r="B3" s="15">
        <v>123456</v>
      </c>
      <c r="C3" s="15"/>
      <c r="D3" s="15">
        <v>101</v>
      </c>
      <c r="E3" s="25" t="s">
        <v>61</v>
      </c>
      <c r="F3" t="s">
        <v>57</v>
      </c>
      <c r="G3" s="24" t="s">
        <v>145</v>
      </c>
      <c r="H3" s="10" t="s">
        <v>60</v>
      </c>
      <c r="I3" s="5">
        <v>34700</v>
      </c>
      <c r="J3" s="5">
        <v>401768</v>
      </c>
    </row>
    <row r="4" spans="1:12" x14ac:dyDescent="0.25">
      <c r="A4" s="15">
        <f t="shared" ref="A4:A9" si="0">A3+1</f>
        <v>1003</v>
      </c>
      <c r="B4" s="15">
        <v>99821</v>
      </c>
      <c r="C4" s="15"/>
      <c r="D4" s="15">
        <v>100</v>
      </c>
      <c r="E4" s="25" t="s">
        <v>61</v>
      </c>
      <c r="F4" t="s">
        <v>56</v>
      </c>
      <c r="G4" s="24" t="s">
        <v>144</v>
      </c>
      <c r="H4" s="10" t="s">
        <v>60</v>
      </c>
      <c r="I4" s="5">
        <v>34700</v>
      </c>
      <c r="J4" s="5">
        <v>401768</v>
      </c>
    </row>
    <row r="5" spans="1:12" x14ac:dyDescent="0.25">
      <c r="A5" s="15">
        <f t="shared" si="0"/>
        <v>1004</v>
      </c>
      <c r="B5" s="15">
        <v>99821</v>
      </c>
      <c r="C5" s="15"/>
      <c r="D5" s="15">
        <v>100</v>
      </c>
      <c r="E5" s="25" t="s">
        <v>61</v>
      </c>
      <c r="F5" t="s">
        <v>57</v>
      </c>
      <c r="G5" s="24" t="s">
        <v>145</v>
      </c>
      <c r="H5" s="10" t="s">
        <v>61</v>
      </c>
      <c r="I5" s="5">
        <v>42095</v>
      </c>
      <c r="J5" s="5">
        <v>401768</v>
      </c>
    </row>
    <row r="6" spans="1:12" x14ac:dyDescent="0.25">
      <c r="A6" s="15">
        <f t="shared" si="0"/>
        <v>1005</v>
      </c>
      <c r="B6" s="15">
        <v>99821</v>
      </c>
      <c r="C6" s="15"/>
      <c r="D6" s="15">
        <v>114</v>
      </c>
      <c r="E6" s="25" t="s">
        <v>61</v>
      </c>
      <c r="F6" t="s">
        <v>58</v>
      </c>
      <c r="G6" s="24" t="s">
        <v>146</v>
      </c>
      <c r="H6" s="10" t="s">
        <v>60</v>
      </c>
      <c r="I6" s="5">
        <v>34700</v>
      </c>
      <c r="J6" s="5">
        <v>401768</v>
      </c>
    </row>
    <row r="7" spans="1:12" x14ac:dyDescent="0.25">
      <c r="A7" s="15">
        <f t="shared" si="0"/>
        <v>1006</v>
      </c>
      <c r="B7" s="15">
        <v>54345</v>
      </c>
      <c r="C7" s="15"/>
      <c r="D7" s="15">
        <v>112</v>
      </c>
      <c r="E7" s="25" t="s">
        <v>61</v>
      </c>
      <c r="F7" t="s">
        <v>56</v>
      </c>
      <c r="G7" s="24" t="s">
        <v>145</v>
      </c>
      <c r="H7" s="10" t="s">
        <v>60</v>
      </c>
      <c r="I7" s="5">
        <v>34700</v>
      </c>
      <c r="J7" s="5">
        <v>401768</v>
      </c>
    </row>
    <row r="8" spans="1:12" x14ac:dyDescent="0.25">
      <c r="A8" s="15">
        <f t="shared" si="0"/>
        <v>1007</v>
      </c>
      <c r="B8" s="15">
        <v>883123</v>
      </c>
      <c r="C8" s="15"/>
      <c r="D8" s="15">
        <v>121</v>
      </c>
      <c r="E8" s="25" t="s">
        <v>61</v>
      </c>
      <c r="F8" t="s">
        <v>56</v>
      </c>
      <c r="G8" s="24" t="s">
        <v>144</v>
      </c>
      <c r="H8" s="10" t="s">
        <v>60</v>
      </c>
      <c r="I8" s="5">
        <v>34700</v>
      </c>
      <c r="J8" s="5">
        <v>401768</v>
      </c>
    </row>
    <row r="9" spans="1:12" x14ac:dyDescent="0.25">
      <c r="A9" s="15">
        <f t="shared" si="0"/>
        <v>1008</v>
      </c>
      <c r="B9" s="15">
        <v>883123</v>
      </c>
      <c r="C9" s="15"/>
      <c r="D9" s="15">
        <v>100</v>
      </c>
      <c r="E9" s="25" t="s">
        <v>61</v>
      </c>
      <c r="F9" t="s">
        <v>58</v>
      </c>
      <c r="G9" s="24" t="s">
        <v>144</v>
      </c>
      <c r="H9" s="10" t="s">
        <v>60</v>
      </c>
      <c r="I9" s="5">
        <v>34700</v>
      </c>
      <c r="J9" s="5">
        <v>401768</v>
      </c>
    </row>
    <row r="10" spans="1:12" x14ac:dyDescent="0.25">
      <c r="A10" s="15"/>
      <c r="B10" s="15"/>
      <c r="C10" s="15"/>
    </row>
    <row r="11" spans="1:12" x14ac:dyDescent="0.25">
      <c r="B11" s="15"/>
      <c r="C11" s="15"/>
    </row>
    <row r="15" spans="1:12" x14ac:dyDescent="0.25">
      <c r="L15" s="10"/>
    </row>
    <row r="16" spans="1:12" x14ac:dyDescent="0.25">
      <c r="L16" s="10"/>
    </row>
    <row r="17" spans="1:12" x14ac:dyDescent="0.25">
      <c r="L17" s="10"/>
    </row>
    <row r="18" spans="1:12" x14ac:dyDescent="0.25">
      <c r="L18" s="10"/>
    </row>
    <row r="19" spans="1:12" x14ac:dyDescent="0.25">
      <c r="L19" s="10"/>
    </row>
    <row r="20" spans="1:12" x14ac:dyDescent="0.25">
      <c r="L20" s="10"/>
    </row>
    <row r="21" spans="1:12" x14ac:dyDescent="0.25">
      <c r="K21" s="10"/>
    </row>
    <row r="22" spans="1:12" x14ac:dyDescent="0.25">
      <c r="K22" s="10"/>
    </row>
    <row r="23" spans="1:12" x14ac:dyDescent="0.25">
      <c r="K23" s="10"/>
    </row>
    <row r="25" spans="1:12" x14ac:dyDescent="0.25">
      <c r="B25" t="s">
        <v>119</v>
      </c>
    </row>
    <row r="26" spans="1:12" ht="145.19999999999999" x14ac:dyDescent="0.25">
      <c r="A26" s="11"/>
      <c r="B26" s="19" t="s">
        <v>118</v>
      </c>
      <c r="C26" s="19"/>
      <c r="D26" s="19" t="s">
        <v>148</v>
      </c>
      <c r="E26" s="19" t="s">
        <v>150</v>
      </c>
      <c r="F26" s="19" t="s">
        <v>149</v>
      </c>
      <c r="G26" s="19" t="s">
        <v>142</v>
      </c>
      <c r="H26" s="19" t="s">
        <v>140</v>
      </c>
      <c r="I26" s="28" t="s">
        <v>143</v>
      </c>
      <c r="J26" s="29"/>
    </row>
    <row r="27" spans="1:12" x14ac:dyDescent="0.25">
      <c r="L27" s="10"/>
    </row>
    <row r="28" spans="1:12" x14ac:dyDescent="0.25">
      <c r="L28" s="10"/>
    </row>
    <row r="29" spans="1:12" x14ac:dyDescent="0.25">
      <c r="L29" s="10"/>
    </row>
    <row r="30" spans="1:12" x14ac:dyDescent="0.25">
      <c r="L30" s="10"/>
    </row>
    <row r="31" spans="1:12" x14ac:dyDescent="0.25">
      <c r="L31" s="10"/>
    </row>
    <row r="32" spans="1:12" x14ac:dyDescent="0.25">
      <c r="L32" s="10"/>
    </row>
  </sheetData>
  <mergeCells count="1">
    <mergeCell ref="I26:J26"/>
  </mergeCells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&amp;LMengenCode, BemessungsCode -&gt; Deklarationsvorschrift&amp;RDeklaraktionsvorschrift</oddHeader>
    <oddFooter>&amp;L&amp;F / &amp;A&amp;R&amp;D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1"/>
  <sheetViews>
    <sheetView topLeftCell="A10" zoomScale="110" zoomScaleNormal="110" workbookViewId="0">
      <selection activeCell="C24" sqref="C24"/>
    </sheetView>
  </sheetViews>
  <sheetFormatPr baseColWidth="10" defaultRowHeight="13.8" x14ac:dyDescent="0.25"/>
  <cols>
    <col min="1" max="1" width="4.796875" customWidth="1"/>
    <col min="2" max="2" width="9.3984375" bestFit="1" customWidth="1"/>
    <col min="3" max="3" width="16.69921875" bestFit="1" customWidth="1"/>
    <col min="4" max="4" width="15" style="10" bestFit="1" customWidth="1"/>
    <col min="5" max="5" width="6" bestFit="1" customWidth="1"/>
    <col min="8" max="8" width="36" customWidth="1"/>
    <col min="9" max="9" width="6.3984375" bestFit="1" customWidth="1"/>
    <col min="10" max="10" width="5.796875" bestFit="1" customWidth="1"/>
    <col min="11" max="11" width="6.5" bestFit="1" customWidth="1"/>
    <col min="13" max="13" width="3" bestFit="1" customWidth="1"/>
    <col min="14" max="14" width="2.8984375" bestFit="1" customWidth="1"/>
    <col min="15" max="15" width="3.59765625" bestFit="1" customWidth="1"/>
    <col min="17" max="17" width="3.5" bestFit="1" customWidth="1"/>
    <col min="18" max="18" width="3.3984375" bestFit="1" customWidth="1"/>
    <col min="19" max="19" width="4.09765625" bestFit="1" customWidth="1"/>
  </cols>
  <sheetData>
    <row r="1" spans="1:19" x14ac:dyDescent="0.25">
      <c r="A1" s="14" t="s">
        <v>65</v>
      </c>
      <c r="B1" s="1" t="s">
        <v>111</v>
      </c>
      <c r="C1" s="1" t="s">
        <v>67</v>
      </c>
      <c r="D1" s="9" t="s">
        <v>68</v>
      </c>
      <c r="E1" s="1" t="s">
        <v>70</v>
      </c>
      <c r="F1" s="1" t="s">
        <v>71</v>
      </c>
      <c r="G1" s="1" t="s">
        <v>72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73</v>
      </c>
      <c r="M1" s="1" t="s">
        <v>132</v>
      </c>
      <c r="N1" s="1" t="s">
        <v>133</v>
      </c>
      <c r="O1" s="1" t="s">
        <v>134</v>
      </c>
      <c r="P1" s="1" t="s">
        <v>92</v>
      </c>
      <c r="Q1" s="1" t="s">
        <v>135</v>
      </c>
      <c r="R1" s="1" t="s">
        <v>136</v>
      </c>
      <c r="S1" s="1" t="s">
        <v>137</v>
      </c>
    </row>
    <row r="2" spans="1:19" x14ac:dyDescent="0.25">
      <c r="A2" s="15">
        <v>100</v>
      </c>
      <c r="B2">
        <v>5</v>
      </c>
      <c r="C2">
        <v>3</v>
      </c>
      <c r="D2" s="10" t="s">
        <v>60</v>
      </c>
    </row>
    <row r="3" spans="1:19" x14ac:dyDescent="0.25">
      <c r="A3" s="15">
        <f>A2+1</f>
        <v>101</v>
      </c>
      <c r="B3">
        <v>15</v>
      </c>
      <c r="C3">
        <v>0</v>
      </c>
      <c r="D3" s="10" t="s">
        <v>61</v>
      </c>
      <c r="H3" s="22" t="s">
        <v>100</v>
      </c>
    </row>
    <row r="4" spans="1:19" x14ac:dyDescent="0.25">
      <c r="A4" s="15">
        <f t="shared" ref="A4:A22" si="0">A3+1</f>
        <v>102</v>
      </c>
      <c r="B4">
        <v>7</v>
      </c>
      <c r="C4">
        <v>0</v>
      </c>
      <c r="D4" s="10" t="s">
        <v>60</v>
      </c>
      <c r="G4">
        <v>15</v>
      </c>
      <c r="H4" s="22" t="s">
        <v>78</v>
      </c>
      <c r="P4" t="s">
        <v>93</v>
      </c>
    </row>
    <row r="5" spans="1:19" ht="27.6" x14ac:dyDescent="0.25">
      <c r="A5" s="15">
        <f t="shared" si="0"/>
        <v>103</v>
      </c>
      <c r="B5">
        <v>7</v>
      </c>
      <c r="C5">
        <v>3</v>
      </c>
      <c r="D5" s="10" t="s">
        <v>60</v>
      </c>
      <c r="F5">
        <v>50</v>
      </c>
      <c r="H5" s="22" t="s">
        <v>110</v>
      </c>
    </row>
    <row r="6" spans="1:19" ht="27.6" x14ac:dyDescent="0.25">
      <c r="A6" s="15">
        <f t="shared" si="0"/>
        <v>104</v>
      </c>
      <c r="B6">
        <v>3</v>
      </c>
      <c r="C6">
        <v>3</v>
      </c>
      <c r="D6" s="10" t="s">
        <v>60</v>
      </c>
      <c r="E6">
        <v>1013</v>
      </c>
      <c r="G6">
        <v>15</v>
      </c>
      <c r="H6" s="22" t="s">
        <v>109</v>
      </c>
    </row>
    <row r="7" spans="1:19" x14ac:dyDescent="0.25">
      <c r="A7" s="15">
        <f t="shared" si="0"/>
        <v>105</v>
      </c>
      <c r="B7">
        <v>14</v>
      </c>
      <c r="C7">
        <v>0</v>
      </c>
      <c r="D7" s="10" t="s">
        <v>61</v>
      </c>
      <c r="H7" s="22"/>
    </row>
    <row r="8" spans="1:19" ht="27.6" x14ac:dyDescent="0.25">
      <c r="A8" s="15">
        <f t="shared" si="0"/>
        <v>106</v>
      </c>
      <c r="B8">
        <v>15</v>
      </c>
      <c r="C8">
        <v>2</v>
      </c>
      <c r="D8" s="10" t="s">
        <v>60</v>
      </c>
      <c r="H8" s="22" t="s">
        <v>108</v>
      </c>
    </row>
    <row r="9" spans="1:19" x14ac:dyDescent="0.25">
      <c r="A9" s="15"/>
    </row>
    <row r="10" spans="1:19" x14ac:dyDescent="0.25">
      <c r="A10" s="15"/>
    </row>
    <row r="11" spans="1:19" x14ac:dyDescent="0.25">
      <c r="A11" s="15"/>
    </row>
    <row r="12" spans="1:19" x14ac:dyDescent="0.25">
      <c r="A12" s="15"/>
    </row>
    <row r="13" spans="1:19" x14ac:dyDescent="0.25">
      <c r="A13" s="15"/>
    </row>
    <row r="14" spans="1:19" x14ac:dyDescent="0.25">
      <c r="A14" s="15"/>
    </row>
    <row r="15" spans="1:19" x14ac:dyDescent="0.25">
      <c r="A15" s="15"/>
    </row>
    <row r="16" spans="1:19" x14ac:dyDescent="0.25">
      <c r="A16" s="15"/>
    </row>
    <row r="17" spans="1:19" x14ac:dyDescent="0.25">
      <c r="A17" s="13" t="s">
        <v>147</v>
      </c>
    </row>
    <row r="18" spans="1:19" x14ac:dyDescent="0.25">
      <c r="A18" s="23">
        <v>200</v>
      </c>
      <c r="B18" s="20">
        <v>5</v>
      </c>
      <c r="C18" s="20">
        <v>3</v>
      </c>
      <c r="D18" s="21" t="s">
        <v>60</v>
      </c>
      <c r="E18" s="20"/>
      <c r="F18" s="20"/>
      <c r="G18" s="20"/>
      <c r="H18" s="20" t="s">
        <v>112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x14ac:dyDescent="0.25">
      <c r="A19" s="23">
        <f t="shared" si="0"/>
        <v>201</v>
      </c>
      <c r="B19" s="20">
        <v>6</v>
      </c>
      <c r="C19" s="20">
        <v>0</v>
      </c>
      <c r="D19" s="21" t="s">
        <v>60</v>
      </c>
      <c r="E19" s="20"/>
      <c r="F19" s="20"/>
      <c r="G19" s="20"/>
      <c r="H19" s="20" t="s">
        <v>35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x14ac:dyDescent="0.25">
      <c r="A20" s="23">
        <f t="shared" si="0"/>
        <v>202</v>
      </c>
      <c r="B20" s="20">
        <v>4</v>
      </c>
      <c r="C20" s="20">
        <v>0</v>
      </c>
      <c r="D20" s="21" t="s">
        <v>60</v>
      </c>
      <c r="E20" s="20"/>
      <c r="F20" s="20"/>
      <c r="G20" s="20"/>
      <c r="H20" s="20" t="s">
        <v>113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x14ac:dyDescent="0.25">
      <c r="A21" s="23">
        <f t="shared" si="0"/>
        <v>203</v>
      </c>
      <c r="B21" s="20">
        <v>1</v>
      </c>
      <c r="C21" s="20">
        <v>0</v>
      </c>
      <c r="D21" s="21" t="s">
        <v>60</v>
      </c>
      <c r="E21" s="20"/>
      <c r="F21" s="20"/>
      <c r="G21" s="20"/>
      <c r="H21" s="20" t="s">
        <v>5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x14ac:dyDescent="0.25">
      <c r="A22" s="23">
        <f t="shared" si="0"/>
        <v>204</v>
      </c>
      <c r="B22" s="20">
        <v>7</v>
      </c>
      <c r="C22" s="20">
        <v>0</v>
      </c>
      <c r="D22" s="21" t="s">
        <v>60</v>
      </c>
      <c r="E22" s="20"/>
      <c r="F22" s="20"/>
      <c r="G22" s="20"/>
      <c r="H22" s="20" t="s">
        <v>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x14ac:dyDescent="0.25">
      <c r="A23" s="23">
        <f>A22+1</f>
        <v>205</v>
      </c>
      <c r="B23" s="20">
        <v>8</v>
      </c>
      <c r="C23" s="20">
        <v>0</v>
      </c>
      <c r="D23" s="21" t="s">
        <v>60</v>
      </c>
      <c r="E23" s="20"/>
      <c r="F23" s="20"/>
      <c r="G23" s="20"/>
      <c r="H23" s="20" t="s">
        <v>49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x14ac:dyDescent="0.25">
      <c r="A24" s="23">
        <f>A23+1</f>
        <v>206</v>
      </c>
      <c r="B24" s="20">
        <v>5</v>
      </c>
      <c r="C24" s="20">
        <v>0</v>
      </c>
      <c r="D24" s="21" t="s">
        <v>60</v>
      </c>
      <c r="E24" s="20"/>
      <c r="F24" s="20"/>
      <c r="G24" s="20"/>
      <c r="H24" s="20" t="s">
        <v>27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x14ac:dyDescent="0.25">
      <c r="A25" s="15"/>
    </row>
    <row r="26" spans="1:19" x14ac:dyDescent="0.25">
      <c r="K26" s="2"/>
    </row>
    <row r="27" spans="1:19" x14ac:dyDescent="0.25">
      <c r="K27" s="2"/>
    </row>
    <row r="28" spans="1:19" x14ac:dyDescent="0.25">
      <c r="K28" s="2"/>
    </row>
    <row r="29" spans="1:19" x14ac:dyDescent="0.25">
      <c r="K29" s="2"/>
    </row>
    <row r="30" spans="1:19" x14ac:dyDescent="0.25">
      <c r="K30" s="2"/>
    </row>
    <row r="31" spans="1:19" x14ac:dyDescent="0.25">
      <c r="K31" s="2"/>
    </row>
    <row r="32" spans="1:19" x14ac:dyDescent="0.25">
      <c r="K32" s="2"/>
    </row>
    <row r="33" spans="11:11" x14ac:dyDescent="0.25">
      <c r="K33" s="2"/>
    </row>
    <row r="34" spans="11:11" x14ac:dyDescent="0.25">
      <c r="K34" s="2"/>
    </row>
    <row r="35" spans="11:11" x14ac:dyDescent="0.25">
      <c r="K35" s="2"/>
    </row>
    <row r="36" spans="11:11" x14ac:dyDescent="0.25">
      <c r="K36" s="2"/>
    </row>
    <row r="37" spans="11:11" x14ac:dyDescent="0.25">
      <c r="K37" s="2"/>
    </row>
    <row r="38" spans="11:11" x14ac:dyDescent="0.25">
      <c r="K38" s="2"/>
    </row>
    <row r="39" spans="11:11" x14ac:dyDescent="0.25">
      <c r="K39" s="2"/>
    </row>
    <row r="40" spans="11:11" x14ac:dyDescent="0.25">
      <c r="K40" s="2"/>
    </row>
    <row r="41" spans="11:11" x14ac:dyDescent="0.25">
      <c r="K41" s="2"/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&amp;LMengenCode, BemessungsCode -&gt; Deklarationsvorschrift&amp;RBemessungsgrundlage</oddHeader>
    <oddFooter>&amp;L&amp;F / &amp;A&amp;R&amp;D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0"/>
  <sheetViews>
    <sheetView workbookViewId="0">
      <selection sqref="A1:A18"/>
    </sheetView>
  </sheetViews>
  <sheetFormatPr baseColWidth="10" defaultRowHeight="13.8" x14ac:dyDescent="0.25"/>
  <cols>
    <col min="3" max="3" width="16.59765625" bestFit="1" customWidth="1"/>
    <col min="4" max="5" width="15.19921875" bestFit="1" customWidth="1"/>
    <col min="6" max="6" width="9.59765625" bestFit="1" customWidth="1"/>
  </cols>
  <sheetData>
    <row r="1" spans="1:6" x14ac:dyDescent="0.25">
      <c r="A1" s="15" t="s">
        <v>65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15">
        <v>1</v>
      </c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</row>
    <row r="3" spans="1:6" x14ac:dyDescent="0.25">
      <c r="A3" s="15">
        <v>2</v>
      </c>
      <c r="B3" s="2" t="s">
        <v>83</v>
      </c>
      <c r="C3" s="4" t="s">
        <v>82</v>
      </c>
      <c r="D3" s="2"/>
      <c r="E3" s="2"/>
      <c r="F3" s="2"/>
    </row>
    <row r="4" spans="1:6" x14ac:dyDescent="0.25">
      <c r="A4" s="15">
        <v>3</v>
      </c>
      <c r="B4" s="2" t="s">
        <v>84</v>
      </c>
      <c r="C4" s="4" t="s">
        <v>85</v>
      </c>
      <c r="D4" s="2"/>
      <c r="E4" s="2"/>
      <c r="F4" s="2"/>
    </row>
    <row r="5" spans="1:6" x14ac:dyDescent="0.25">
      <c r="A5" s="15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x14ac:dyDescent="0.25">
      <c r="A6" s="15">
        <v>5</v>
      </c>
      <c r="B6" s="2" t="s">
        <v>27</v>
      </c>
      <c r="C6" s="4" t="s">
        <v>28</v>
      </c>
      <c r="D6" s="2" t="s">
        <v>29</v>
      </c>
      <c r="E6" s="2" t="s">
        <v>27</v>
      </c>
      <c r="F6" s="2" t="s">
        <v>27</v>
      </c>
    </row>
    <row r="7" spans="1:6" x14ac:dyDescent="0.25">
      <c r="A7" s="15">
        <v>6</v>
      </c>
      <c r="B7" s="2" t="s">
        <v>34</v>
      </c>
      <c r="C7" s="4" t="s">
        <v>35</v>
      </c>
      <c r="D7" s="4" t="s">
        <v>37</v>
      </c>
      <c r="E7" s="4" t="s">
        <v>36</v>
      </c>
      <c r="F7" s="4" t="s">
        <v>33</v>
      </c>
    </row>
    <row r="8" spans="1:6" x14ac:dyDescent="0.25">
      <c r="A8" s="15">
        <v>7</v>
      </c>
      <c r="B8" s="2" t="s">
        <v>69</v>
      </c>
      <c r="C8" s="4" t="s">
        <v>42</v>
      </c>
      <c r="D8" s="4" t="s">
        <v>43</v>
      </c>
      <c r="E8" s="4" t="s">
        <v>44</v>
      </c>
      <c r="F8" s="4" t="s">
        <v>43</v>
      </c>
    </row>
    <row r="9" spans="1:6" x14ac:dyDescent="0.25">
      <c r="A9" s="15">
        <v>8</v>
      </c>
      <c r="B9" s="2" t="s">
        <v>48</v>
      </c>
      <c r="C9" s="4" t="s">
        <v>49</v>
      </c>
      <c r="D9" s="2" t="s">
        <v>48</v>
      </c>
      <c r="E9" s="2" t="s">
        <v>48</v>
      </c>
      <c r="F9" s="2" t="s">
        <v>48</v>
      </c>
    </row>
    <row r="10" spans="1:6" x14ac:dyDescent="0.25">
      <c r="A10" s="15">
        <v>9</v>
      </c>
      <c r="B10" s="2" t="s">
        <v>96</v>
      </c>
      <c r="C10" s="4" t="s">
        <v>79</v>
      </c>
      <c r="D10" s="2"/>
      <c r="E10" s="2"/>
      <c r="F10" s="2"/>
    </row>
    <row r="11" spans="1:6" x14ac:dyDescent="0.25">
      <c r="A11" s="15">
        <v>10</v>
      </c>
      <c r="B11" s="2" t="s">
        <v>95</v>
      </c>
      <c r="C11" s="4" t="s">
        <v>80</v>
      </c>
      <c r="D11" s="2"/>
      <c r="E11" s="2"/>
      <c r="F11" s="2"/>
    </row>
    <row r="12" spans="1:6" x14ac:dyDescent="0.25">
      <c r="A12" s="15">
        <v>11</v>
      </c>
      <c r="B12" s="2" t="s">
        <v>94</v>
      </c>
      <c r="C12" s="4" t="s">
        <v>81</v>
      </c>
      <c r="D12" s="2"/>
      <c r="E12" s="2"/>
      <c r="F12" s="2"/>
    </row>
    <row r="13" spans="1:6" x14ac:dyDescent="0.25">
      <c r="A13" s="15">
        <v>12</v>
      </c>
      <c r="B13" s="2" t="s">
        <v>99</v>
      </c>
      <c r="C13" s="4" t="s">
        <v>86</v>
      </c>
      <c r="D13" s="2"/>
      <c r="E13" s="2"/>
      <c r="F13" s="2"/>
    </row>
    <row r="14" spans="1:6" x14ac:dyDescent="0.25">
      <c r="A14" s="15">
        <v>13</v>
      </c>
      <c r="B14" s="2" t="s">
        <v>98</v>
      </c>
      <c r="C14" s="4" t="s">
        <v>97</v>
      </c>
      <c r="D14" s="2"/>
      <c r="E14" s="2"/>
      <c r="F14" s="2"/>
    </row>
    <row r="15" spans="1:6" x14ac:dyDescent="0.25">
      <c r="A15" s="15">
        <v>14</v>
      </c>
      <c r="B15" s="2" t="s">
        <v>103</v>
      </c>
      <c r="C15" s="4" t="s">
        <v>104</v>
      </c>
      <c r="D15" s="2"/>
      <c r="E15" s="2"/>
      <c r="F15" s="2"/>
    </row>
    <row r="16" spans="1:6" x14ac:dyDescent="0.25">
      <c r="A16" s="15">
        <v>15</v>
      </c>
      <c r="B16" s="2" t="s">
        <v>102</v>
      </c>
      <c r="C16" s="4" t="s">
        <v>101</v>
      </c>
      <c r="D16" s="2"/>
      <c r="E16" s="2"/>
      <c r="F16" s="2"/>
    </row>
    <row r="17" spans="1:6" x14ac:dyDescent="0.25">
      <c r="A17" s="15">
        <v>16</v>
      </c>
      <c r="B17" s="2" t="s">
        <v>107</v>
      </c>
      <c r="C17" s="4" t="s">
        <v>106</v>
      </c>
      <c r="D17" s="2"/>
      <c r="E17" s="2"/>
      <c r="F17" s="2"/>
    </row>
    <row r="18" spans="1:6" x14ac:dyDescent="0.25">
      <c r="A18" s="15"/>
      <c r="B18" s="2"/>
      <c r="C18" s="2"/>
      <c r="D18" s="2"/>
      <c r="E18" s="2"/>
      <c r="F18" s="2"/>
    </row>
    <row r="19" spans="1:6" x14ac:dyDescent="0.25">
      <c r="B19" s="2"/>
      <c r="C19" s="2"/>
      <c r="D19" s="2"/>
      <c r="E19" s="2"/>
      <c r="F19" s="2"/>
    </row>
    <row r="20" spans="1:6" x14ac:dyDescent="0.25">
      <c r="B20" s="2"/>
      <c r="C20" s="2"/>
      <c r="D20" s="2"/>
      <c r="E20" s="2"/>
      <c r="F20" s="2"/>
    </row>
    <row r="21" spans="1:6" x14ac:dyDescent="0.25">
      <c r="B21" s="2"/>
      <c r="C21" s="2"/>
      <c r="D21" s="2"/>
      <c r="E21" s="2"/>
      <c r="F21" s="2"/>
    </row>
    <row r="22" spans="1:6" x14ac:dyDescent="0.25">
      <c r="B22" s="2"/>
      <c r="C22" s="2"/>
      <c r="D22" s="2"/>
      <c r="E22" s="2"/>
      <c r="F22" s="2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&amp;LMengenCode, BemessungsCode -&gt; Deklarationsvorschrift&amp;REinheit</oddHeader>
    <oddFooter>&amp;L&amp;F / &amp;A&amp;R&amp;D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I1" sqref="I1"/>
    </sheetView>
  </sheetViews>
  <sheetFormatPr baseColWidth="10" defaultRowHeight="13.8" x14ac:dyDescent="0.25"/>
  <cols>
    <col min="1" max="1" width="13.69921875" bestFit="1" customWidth="1"/>
    <col min="2" max="2" width="13.69921875" customWidth="1"/>
    <col min="3" max="3" width="15.796875" bestFit="1" customWidth="1"/>
    <col min="4" max="4" width="15.09765625" bestFit="1" customWidth="1"/>
    <col min="5" max="6" width="16.09765625" bestFit="1" customWidth="1"/>
    <col min="7" max="7" width="14" bestFit="1" customWidth="1"/>
    <col min="8" max="8" width="17.3984375" bestFit="1" customWidth="1"/>
    <col min="9" max="9" width="21.69921875" bestFit="1" customWidth="1"/>
  </cols>
  <sheetData>
    <row r="1" spans="1:8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 spans="1:8" x14ac:dyDescent="0.25">
      <c r="A2" s="6">
        <v>1</v>
      </c>
      <c r="B2" s="6">
        <v>4</v>
      </c>
      <c r="C2" s="6">
        <v>100</v>
      </c>
      <c r="D2" s="6" t="s">
        <v>23</v>
      </c>
      <c r="E2" s="6" t="s">
        <v>24</v>
      </c>
      <c r="F2" s="6" t="s">
        <v>25</v>
      </c>
      <c r="G2" s="6" t="s">
        <v>26</v>
      </c>
      <c r="H2" s="8" t="s">
        <v>87</v>
      </c>
    </row>
    <row r="3" spans="1:8" x14ac:dyDescent="0.25">
      <c r="A3" s="6">
        <v>2</v>
      </c>
      <c r="B3" s="6">
        <v>2</v>
      </c>
      <c r="C3" s="6">
        <v>1</v>
      </c>
      <c r="D3" s="6" t="s">
        <v>30</v>
      </c>
      <c r="E3" s="6" t="s">
        <v>31</v>
      </c>
      <c r="F3" s="6" t="s">
        <v>32</v>
      </c>
      <c r="G3" s="6" t="s">
        <v>33</v>
      </c>
      <c r="H3" s="8" t="s">
        <v>87</v>
      </c>
    </row>
    <row r="4" spans="1:8" x14ac:dyDescent="0.25">
      <c r="A4" s="6">
        <v>3</v>
      </c>
      <c r="B4" s="6">
        <v>2</v>
      </c>
      <c r="C4" s="6">
        <v>1</v>
      </c>
      <c r="D4" s="6" t="s">
        <v>14</v>
      </c>
      <c r="E4" s="6" t="s">
        <v>15</v>
      </c>
      <c r="F4" s="6" t="s">
        <v>16</v>
      </c>
      <c r="G4" s="6" t="s">
        <v>17</v>
      </c>
      <c r="H4" s="8" t="s">
        <v>87</v>
      </c>
    </row>
    <row r="5" spans="1:8" x14ac:dyDescent="0.25">
      <c r="A5" s="6">
        <v>4</v>
      </c>
      <c r="B5" s="6">
        <v>2</v>
      </c>
      <c r="C5" s="6">
        <v>1</v>
      </c>
      <c r="D5" s="6" t="s">
        <v>0</v>
      </c>
      <c r="E5" s="6" t="s">
        <v>1</v>
      </c>
      <c r="F5" s="6" t="s">
        <v>2</v>
      </c>
      <c r="G5" s="6" t="s">
        <v>3</v>
      </c>
      <c r="H5" s="8" t="s">
        <v>87</v>
      </c>
    </row>
    <row r="6" spans="1:8" x14ac:dyDescent="0.25">
      <c r="A6" s="6">
        <v>5</v>
      </c>
      <c r="B6" s="6">
        <v>2</v>
      </c>
      <c r="C6" s="6">
        <v>1</v>
      </c>
      <c r="D6" s="6" t="s">
        <v>38</v>
      </c>
      <c r="E6" s="6" t="s">
        <v>39</v>
      </c>
      <c r="F6" s="6" t="s">
        <v>40</v>
      </c>
      <c r="G6" s="6" t="s">
        <v>41</v>
      </c>
      <c r="H6" s="8" t="s">
        <v>87</v>
      </c>
    </row>
    <row r="7" spans="1:8" x14ac:dyDescent="0.25">
      <c r="A7" s="6">
        <v>6</v>
      </c>
      <c r="B7" s="6">
        <v>2</v>
      </c>
      <c r="C7" s="6">
        <v>1</v>
      </c>
      <c r="D7" s="6" t="s">
        <v>45</v>
      </c>
      <c r="E7" s="6" t="s">
        <v>46</v>
      </c>
      <c r="F7" s="6" t="s">
        <v>47</v>
      </c>
      <c r="G7" s="6" t="s">
        <v>47</v>
      </c>
      <c r="H7" s="8" t="s">
        <v>87</v>
      </c>
    </row>
    <row r="8" spans="1:8" x14ac:dyDescent="0.25">
      <c r="A8" s="6">
        <v>7</v>
      </c>
      <c r="B8" s="6">
        <v>1</v>
      </c>
      <c r="C8" s="6">
        <v>100</v>
      </c>
      <c r="D8" s="6" t="s">
        <v>50</v>
      </c>
      <c r="E8" s="6" t="s">
        <v>51</v>
      </c>
      <c r="F8" s="6" t="s">
        <v>52</v>
      </c>
      <c r="G8" s="6" t="s">
        <v>53</v>
      </c>
      <c r="H8" s="8" t="s">
        <v>87</v>
      </c>
    </row>
    <row r="9" spans="1:8" x14ac:dyDescent="0.25">
      <c r="A9" s="7">
        <v>11</v>
      </c>
      <c r="B9" s="7">
        <v>3</v>
      </c>
      <c r="C9" s="7">
        <v>100</v>
      </c>
      <c r="D9" s="7" t="s">
        <v>23</v>
      </c>
      <c r="E9" s="7" t="s">
        <v>24</v>
      </c>
      <c r="F9" s="7" t="s">
        <v>25</v>
      </c>
      <c r="G9" s="7" t="s">
        <v>26</v>
      </c>
      <c r="H9" s="7" t="s">
        <v>87</v>
      </c>
    </row>
    <row r="10" spans="1:8" x14ac:dyDescent="0.25">
      <c r="A10" s="7">
        <v>12</v>
      </c>
      <c r="B10" s="7">
        <v>3</v>
      </c>
      <c r="C10" s="7">
        <v>1</v>
      </c>
      <c r="D10" s="7"/>
      <c r="E10" s="7"/>
      <c r="F10" s="7"/>
      <c r="G10" s="7"/>
      <c r="H10" s="7" t="s">
        <v>87</v>
      </c>
    </row>
    <row r="11" spans="1:8" x14ac:dyDescent="0.25">
      <c r="A11" s="7">
        <v>13</v>
      </c>
      <c r="B11" s="7">
        <v>3</v>
      </c>
      <c r="C11" s="7">
        <v>1</v>
      </c>
      <c r="D11" s="7"/>
      <c r="E11" s="7"/>
      <c r="F11" s="7"/>
      <c r="G11" s="7"/>
      <c r="H11" s="7" t="s">
        <v>87</v>
      </c>
    </row>
    <row r="12" spans="1:8" x14ac:dyDescent="0.25">
      <c r="A12" s="7">
        <v>14</v>
      </c>
      <c r="B12" s="7">
        <v>3</v>
      </c>
      <c r="C12" s="7">
        <v>100</v>
      </c>
      <c r="D12" s="7"/>
      <c r="E12" s="7"/>
      <c r="F12" s="7"/>
      <c r="G12" s="7"/>
      <c r="H12" s="7" t="s">
        <v>87</v>
      </c>
    </row>
    <row r="13" spans="1:8" x14ac:dyDescent="0.25">
      <c r="A13" s="7">
        <v>15</v>
      </c>
      <c r="B13" s="7">
        <v>3</v>
      </c>
      <c r="C13" s="7">
        <v>1</v>
      </c>
      <c r="D13" s="7"/>
      <c r="E13" s="7"/>
      <c r="F13" s="7"/>
      <c r="G13" s="7"/>
      <c r="H13" s="7" t="s">
        <v>87</v>
      </c>
    </row>
    <row r="14" spans="1:8" x14ac:dyDescent="0.25">
      <c r="A14" s="7">
        <v>16</v>
      </c>
      <c r="B14" s="7">
        <v>3</v>
      </c>
      <c r="C14" s="7">
        <v>1</v>
      </c>
      <c r="D14" s="7"/>
      <c r="E14" s="7"/>
      <c r="F14" s="7"/>
      <c r="G14" s="7"/>
      <c r="H14" s="7" t="s">
        <v>87</v>
      </c>
    </row>
    <row r="15" spans="1:8" x14ac:dyDescent="0.25">
      <c r="A15" s="7">
        <v>17</v>
      </c>
      <c r="B15" s="7">
        <v>3</v>
      </c>
      <c r="C15" s="7">
        <v>1</v>
      </c>
      <c r="D15" s="7"/>
      <c r="E15" s="7"/>
      <c r="F15" s="7"/>
      <c r="G15" s="7"/>
      <c r="H15" s="7" t="s">
        <v>87</v>
      </c>
    </row>
    <row r="16" spans="1:8" x14ac:dyDescent="0.25">
      <c r="A16" s="7">
        <v>18</v>
      </c>
      <c r="B16" s="7">
        <v>3</v>
      </c>
      <c r="C16" s="7">
        <v>1</v>
      </c>
      <c r="D16" s="7"/>
      <c r="E16" s="7"/>
      <c r="F16" s="7"/>
      <c r="G16" s="7"/>
      <c r="H16" s="7" t="s">
        <v>87</v>
      </c>
    </row>
    <row r="17" spans="1:8" x14ac:dyDescent="0.25">
      <c r="A17" s="7">
        <v>19</v>
      </c>
      <c r="B17" s="7">
        <v>3</v>
      </c>
      <c r="C17" s="7">
        <v>1000</v>
      </c>
      <c r="D17" s="7"/>
      <c r="E17" s="7"/>
      <c r="F17" s="7"/>
      <c r="G17" s="7"/>
      <c r="H17" s="7" t="s">
        <v>87</v>
      </c>
    </row>
    <row r="18" spans="1:8" x14ac:dyDescent="0.25">
      <c r="A18" s="7">
        <v>20</v>
      </c>
      <c r="B18" s="7">
        <v>3</v>
      </c>
      <c r="C18" s="7">
        <v>10</v>
      </c>
      <c r="D18" s="7"/>
      <c r="E18" s="7"/>
      <c r="F18" s="7"/>
      <c r="G18" s="7"/>
      <c r="H18" s="7" t="s">
        <v>87</v>
      </c>
    </row>
    <row r="19" spans="1:8" x14ac:dyDescent="0.25">
      <c r="A19" s="7">
        <v>22</v>
      </c>
      <c r="B19" s="7">
        <v>3</v>
      </c>
      <c r="C19" s="7">
        <v>1000</v>
      </c>
      <c r="D19" s="7"/>
      <c r="E19" s="7"/>
      <c r="F19" s="7"/>
      <c r="G19" s="7"/>
      <c r="H19" s="7" t="s">
        <v>87</v>
      </c>
    </row>
    <row r="20" spans="1:8" x14ac:dyDescent="0.25">
      <c r="A20" s="7">
        <v>23</v>
      </c>
      <c r="B20" s="7">
        <v>3</v>
      </c>
      <c r="C20" s="7">
        <v>1000</v>
      </c>
      <c r="D20" s="7"/>
      <c r="E20" s="7"/>
      <c r="F20" s="7"/>
      <c r="G20" s="7"/>
      <c r="H20" s="7" t="s">
        <v>87</v>
      </c>
    </row>
    <row r="21" spans="1:8" x14ac:dyDescent="0.25">
      <c r="A21" s="7">
        <v>24</v>
      </c>
      <c r="B21" s="7">
        <v>3</v>
      </c>
      <c r="C21" s="7">
        <v>1000</v>
      </c>
      <c r="D21" s="7"/>
      <c r="E21" s="7"/>
      <c r="F21" s="7"/>
      <c r="G21" s="7"/>
      <c r="H21" s="7" t="s">
        <v>87</v>
      </c>
    </row>
    <row r="22" spans="1:8" x14ac:dyDescent="0.25">
      <c r="A22" s="7">
        <v>25</v>
      </c>
      <c r="B22" s="7">
        <v>3</v>
      </c>
      <c r="C22" s="7">
        <v>100</v>
      </c>
      <c r="D22" s="7"/>
      <c r="E22" s="7"/>
      <c r="F22" s="7"/>
      <c r="G22" s="7"/>
      <c r="H22" s="7" t="s">
        <v>87</v>
      </c>
    </row>
    <row r="23" spans="1:8" x14ac:dyDescent="0.25">
      <c r="A23" s="7">
        <v>26</v>
      </c>
      <c r="B23" s="7">
        <v>3</v>
      </c>
      <c r="C23" s="7">
        <v>1</v>
      </c>
      <c r="D23" s="7"/>
      <c r="E23" s="7"/>
      <c r="F23" s="7"/>
      <c r="G23" s="7"/>
      <c r="H23" s="7" t="s">
        <v>87</v>
      </c>
    </row>
    <row r="24" spans="1:8" x14ac:dyDescent="0.25">
      <c r="A24" s="7">
        <v>27</v>
      </c>
      <c r="B24" s="7">
        <v>3</v>
      </c>
      <c r="C24" s="7">
        <v>1</v>
      </c>
      <c r="D24" s="7"/>
      <c r="E24" s="7"/>
      <c r="F24" s="7"/>
      <c r="G24" s="7"/>
      <c r="H24" s="7" t="s">
        <v>87</v>
      </c>
    </row>
    <row r="25" spans="1:8" x14ac:dyDescent="0.25">
      <c r="A25" s="7">
        <v>28</v>
      </c>
      <c r="B25" s="7">
        <v>3</v>
      </c>
      <c r="C25" s="7">
        <v>1</v>
      </c>
      <c r="D25" s="7"/>
      <c r="E25" s="7"/>
      <c r="F25" s="7"/>
      <c r="G25" s="7"/>
      <c r="H25" s="7" t="s">
        <v>87</v>
      </c>
    </row>
    <row r="26" spans="1:8" x14ac:dyDescent="0.25">
      <c r="A26" s="7">
        <v>29</v>
      </c>
      <c r="B26" s="7">
        <v>3</v>
      </c>
      <c r="C26" s="7">
        <v>1</v>
      </c>
      <c r="D26" s="7"/>
      <c r="E26" s="7"/>
      <c r="F26" s="7"/>
      <c r="G26" s="7"/>
      <c r="H26" s="7" t="s">
        <v>87</v>
      </c>
    </row>
    <row r="27" spans="1:8" x14ac:dyDescent="0.25">
      <c r="A27" s="7">
        <v>51</v>
      </c>
      <c r="B27" s="7">
        <v>3</v>
      </c>
      <c r="C27" s="7">
        <v>1</v>
      </c>
      <c r="D27" s="7"/>
      <c r="E27" s="7"/>
      <c r="F27" s="7"/>
      <c r="G27" s="7"/>
      <c r="H27" s="7" t="s">
        <v>87</v>
      </c>
    </row>
    <row r="28" spans="1:8" x14ac:dyDescent="0.25">
      <c r="A28" s="7">
        <v>52</v>
      </c>
      <c r="B28" s="7">
        <v>3</v>
      </c>
      <c r="C28" s="7">
        <v>10</v>
      </c>
      <c r="D28" s="7"/>
      <c r="E28" s="7"/>
      <c r="F28" s="7"/>
      <c r="G28" s="7"/>
      <c r="H28" s="7" t="s">
        <v>87</v>
      </c>
    </row>
    <row r="29" spans="1:8" x14ac:dyDescent="0.25">
      <c r="A29" s="7">
        <v>53</v>
      </c>
      <c r="B29" s="7">
        <v>3</v>
      </c>
      <c r="C29" s="7">
        <v>100</v>
      </c>
      <c r="D29" s="7"/>
      <c r="E29" s="7"/>
      <c r="F29" s="7"/>
      <c r="G29" s="7"/>
      <c r="H29" s="7" t="s">
        <v>87</v>
      </c>
    </row>
    <row r="30" spans="1:8" x14ac:dyDescent="0.25">
      <c r="A30" s="7">
        <v>54</v>
      </c>
      <c r="B30" s="7">
        <v>2</v>
      </c>
      <c r="C30" s="7">
        <v>1000</v>
      </c>
      <c r="D30" s="7"/>
      <c r="E30" s="7"/>
      <c r="F30" s="7"/>
      <c r="G30" s="7"/>
      <c r="H30" s="7" t="s">
        <v>87</v>
      </c>
    </row>
    <row r="31" spans="1:8" x14ac:dyDescent="0.25">
      <c r="A31" s="7">
        <v>61</v>
      </c>
      <c r="B31" s="7">
        <v>2</v>
      </c>
      <c r="C31" s="7">
        <v>1</v>
      </c>
      <c r="D31" s="7"/>
      <c r="E31" s="7"/>
      <c r="F31" s="7"/>
      <c r="G31" s="7"/>
      <c r="H31" s="7" t="s">
        <v>87</v>
      </c>
    </row>
    <row r="32" spans="1:8" x14ac:dyDescent="0.25">
      <c r="A32" s="7">
        <v>62</v>
      </c>
      <c r="B32" s="7">
        <v>2</v>
      </c>
      <c r="C32" s="7">
        <v>10</v>
      </c>
      <c r="D32" s="7"/>
      <c r="E32" s="7"/>
      <c r="F32" s="7"/>
      <c r="G32" s="7"/>
      <c r="H32" s="7" t="s">
        <v>87</v>
      </c>
    </row>
    <row r="33" spans="1:8" x14ac:dyDescent="0.25">
      <c r="A33" s="7">
        <v>63</v>
      </c>
      <c r="B33" s="7">
        <v>2</v>
      </c>
      <c r="C33" s="7">
        <v>100</v>
      </c>
      <c r="D33" s="7"/>
      <c r="E33" s="7"/>
      <c r="F33" s="7"/>
      <c r="G33" s="7"/>
      <c r="H33" s="7" t="s">
        <v>87</v>
      </c>
    </row>
    <row r="34" spans="1:8" x14ac:dyDescent="0.25">
      <c r="A34" s="7">
        <v>65</v>
      </c>
      <c r="B34" s="7">
        <v>2</v>
      </c>
      <c r="C34" s="7">
        <v>1000</v>
      </c>
      <c r="D34" s="7"/>
      <c r="E34" s="7"/>
      <c r="F34" s="7"/>
      <c r="G34" s="7"/>
      <c r="H34" s="7" t="s">
        <v>87</v>
      </c>
    </row>
    <row r="35" spans="1:8" x14ac:dyDescent="0.25">
      <c r="A35" s="7">
        <v>99</v>
      </c>
      <c r="B35" s="7">
        <v>3</v>
      </c>
      <c r="C35" s="7"/>
      <c r="D35" s="7"/>
      <c r="E35" s="7"/>
      <c r="F35" s="7"/>
      <c r="G35" s="7"/>
      <c r="H35" s="7" t="s">
        <v>87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3" sqref="E23"/>
    </sheetView>
  </sheetViews>
  <sheetFormatPr baseColWidth="10" defaultRowHeight="13.8" x14ac:dyDescent="0.25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Ansatz</vt:lpstr>
      <vt:lpstr>Deklarationsvorschrift (MDG)</vt:lpstr>
      <vt:lpstr>Bemessungsgrundlage</vt:lpstr>
      <vt:lpstr>Einheit</vt:lpstr>
      <vt:lpstr>BEMCO</vt:lpstr>
      <vt:lpstr>MENGENCO</vt:lpstr>
    </vt:vector>
  </TitlesOfParts>
  <Company>Bundesverwaltung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Berner Stefan EZV</dc:creator>
  <cp:lastModifiedBy>Berner Stefan EZV</cp:lastModifiedBy>
  <cp:lastPrinted>2019-04-02T08:30:16Z</cp:lastPrinted>
  <dcterms:created xsi:type="dcterms:W3CDTF">2019-03-07T13:48:31Z</dcterms:created>
  <dcterms:modified xsi:type="dcterms:W3CDTF">2019-04-02T08:41:50Z</dcterms:modified>
</cp:coreProperties>
</file>